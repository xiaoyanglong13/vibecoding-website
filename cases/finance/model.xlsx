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README" sheetId="5" state="visible" r:id="rId5"/>
  </sheets>
  <definedNames>
    <definedName name="in_revenue_2026_01">Inputs!$B$2</definedName>
    <definedName name="in_revenue_2026_02">Inputs!$C$2</definedName>
    <definedName name="in_revenue_2026_03">Inputs!$D$2</definedName>
    <definedName name="in_revenue_2026_04">Inputs!$E$2</definedName>
    <definedName name="in_cogs_2026_01">Inputs!$B$3</definedName>
    <definedName name="in_cogs_2026_02">Inputs!$C$3</definedName>
    <definedName name="in_cogs_2026_03">Inputs!$D$3</definedName>
    <definedName name="in_cogs_2026_04">Inputs!$E$3</definedName>
    <definedName name="in_sganda_2026_01">Inputs!$B$4</definedName>
    <definedName name="in_sganda_2026_02">Inputs!$C$4</definedName>
    <definedName name="in_sganda_2026_03">Inputs!$D$4</definedName>
    <definedName name="in_sganda_2026_04">Inputs!$E$4</definedName>
    <definedName name="in_randd_2026_01">Inputs!$B$5</definedName>
    <definedName name="in_randd_2026_02">Inputs!$C$5</definedName>
    <definedName name="in_randd_2026_03">Inputs!$D$5</definedName>
    <definedName name="in_randd_2026_04">Inputs!$E$5</definedName>
    <definedName name="in_depreciation_2026_01">Inputs!$B$6</definedName>
    <definedName name="in_depreciation_2026_02">Inputs!$C$6</definedName>
    <definedName name="in_depreciation_2026_03">Inputs!$D$6</definedName>
    <definedName name="in_depreciation_2026_04">Inputs!$E$6</definedName>
    <definedName name="in_interest_expense_2026_01">Inputs!$B$7</definedName>
    <definedName name="in_interest_expense_2026_02">Inputs!$C$7</definedName>
    <definedName name="in_interest_expense_2026_03">Inputs!$D$7</definedName>
    <definedName name="in_interest_expense_2026_04">Inputs!$E$7</definedName>
    <definedName name="in_interest_income_2026_01">Inputs!$B$8</definedName>
    <definedName name="in_interest_income_2026_02">Inputs!$C$8</definedName>
    <definedName name="in_interest_income_2026_03">Inputs!$D$8</definedName>
    <definedName name="in_interest_income_2026_04">Inputs!$E$8</definedName>
    <definedName name="in_tax_expense_2026_01">Inputs!$B$9</definedName>
    <definedName name="in_tax_expense_2026_02">Inputs!$C$9</definedName>
    <definedName name="in_tax_expense_2026_03">Inputs!$D$9</definedName>
    <definedName name="in_tax_expense_2026_04">Inputs!$E$9</definedName>
    <definedName name="in_cash_2026_01">Inputs!$B$10</definedName>
    <definedName name="in_cash_2026_02">Inputs!$C$10</definedName>
    <definedName name="in_cash_2026_03">Inputs!$D$10</definedName>
    <definedName name="in_cash_2026_04">Inputs!$E$10</definedName>
    <definedName name="in_ar_2026_01">Inputs!$B$11</definedName>
    <definedName name="in_ar_2026_02">Inputs!$C$11</definedName>
    <definedName name="in_ar_2026_03">Inputs!$D$11</definedName>
    <definedName name="in_ar_2026_04">Inputs!$E$11</definedName>
    <definedName name="in_inventory_2026_01">Inputs!$B$12</definedName>
    <definedName name="in_inventory_2026_02">Inputs!$C$12</definedName>
    <definedName name="in_inventory_2026_03">Inputs!$D$12</definedName>
    <definedName name="in_inventory_2026_04">Inputs!$E$12</definedName>
    <definedName name="in_prepaid_expenses_2026_01">Inputs!$B$13</definedName>
    <definedName name="in_prepaid_expenses_2026_02">Inputs!$C$13</definedName>
    <definedName name="in_prepaid_expenses_2026_03">Inputs!$D$13</definedName>
    <definedName name="in_prepaid_expenses_2026_04">Inputs!$E$13</definedName>
    <definedName name="in_ppe_2026_01">Inputs!$B$14</definedName>
    <definedName name="in_ppe_2026_02">Inputs!$C$14</definedName>
    <definedName name="in_ppe_2026_03">Inputs!$D$14</definedName>
    <definedName name="in_ppe_2026_04">Inputs!$E$14</definedName>
    <definedName name="in_intangibles_2026_01">Inputs!$B$15</definedName>
    <definedName name="in_intangibles_2026_02">Inputs!$C$15</definedName>
    <definedName name="in_intangibles_2026_03">Inputs!$D$15</definedName>
    <definedName name="in_intangibles_2026_04">Inputs!$E$15</definedName>
    <definedName name="in_ap_2026_01">Inputs!$B$16</definedName>
    <definedName name="in_ap_2026_02">Inputs!$C$16</definedName>
    <definedName name="in_ap_2026_03">Inputs!$D$16</definedName>
    <definedName name="in_ap_2026_04">Inputs!$E$16</definedName>
    <definedName name="in_accrued_expenses_2026_01">Inputs!$B$17</definedName>
    <definedName name="in_accrued_expenses_2026_02">Inputs!$C$17</definedName>
    <definedName name="in_accrued_expenses_2026_03">Inputs!$D$17</definedName>
    <definedName name="in_accrued_expenses_2026_04">Inputs!$E$17</definedName>
    <definedName name="in_lease_liability_st_2026_01">Inputs!$B$18</definedName>
    <definedName name="in_lease_liability_st_2026_02">Inputs!$C$18</definedName>
    <definedName name="in_lease_liability_st_2026_03">Inputs!$D$18</definedName>
    <definedName name="in_lease_liability_st_2026_04">Inputs!$E$18</definedName>
    <definedName name="in_lease_liability_lt_2026_01">Inputs!$B$19</definedName>
    <definedName name="in_lease_liability_lt_2026_02">Inputs!$C$19</definedName>
    <definedName name="in_lease_liability_lt_2026_03">Inputs!$D$19</definedName>
    <definedName name="in_lease_liability_lt_2026_04">Inputs!$E$19</definedName>
    <definedName name="in_debt_2026_01">Inputs!$B$20</definedName>
    <definedName name="in_debt_2026_02">Inputs!$C$20</definedName>
    <definedName name="in_debt_2026_03">Inputs!$D$20</definedName>
    <definedName name="in_debt_2026_04">Inputs!$E$20</definedName>
    <definedName name="in_common_stock_2026_01">Inputs!$B$21</definedName>
    <definedName name="in_common_stock_2026_02">Inputs!$C$21</definedName>
    <definedName name="in_common_stock_2026_03">Inputs!$D$21</definedName>
    <definedName name="in_common_stock_2026_04">Inputs!$E$21</definedName>
    <definedName name="in_retained_earnings_prior_2026_01">Inputs!$B$22</definedName>
    <definedName name="in_retained_earnings_prior_2026_02">Inputs!$C$22</definedName>
    <definedName name="in_retained_earnings_prior_2026_03">Inputs!$D$22</definedName>
    <definedName name="in_retained_earnings_prior_2026_04">Inputs!$E$22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 line</t>
        </is>
      </c>
      <c r="B1" s="2" t="inlineStr">
        <is>
          <t>2026-01</t>
        </is>
      </c>
      <c r="C1" s="2" t="inlineStr">
        <is>
          <t>2026-02</t>
        </is>
      </c>
      <c r="D1" s="2" t="inlineStr">
        <is>
          <t>2026-03</t>
        </is>
      </c>
      <c r="E1" s="2" t="inlineStr">
        <is>
          <t>2026-04</t>
        </is>
      </c>
    </row>
    <row r="2">
      <c r="A2" t="inlineStr">
        <is>
          <t>Revenue</t>
        </is>
      </c>
      <c r="B2" s="3" t="n">
        <v>2567482.94</v>
      </c>
      <c r="C2" s="3" t="n">
        <v>2690522.54</v>
      </c>
      <c r="D2" s="3" t="n">
        <v>2734888.82</v>
      </c>
      <c r="E2" s="4" t="n"/>
    </row>
    <row r="3">
      <c r="A3" t="inlineStr">
        <is>
          <t>COGS</t>
        </is>
      </c>
      <c r="B3" s="3" t="n">
        <v>-1455814.71</v>
      </c>
      <c r="C3" s="3" t="n">
        <v>-1482369.15</v>
      </c>
      <c r="D3" s="3" t="n">
        <v>-1506936.06</v>
      </c>
      <c r="E3" s="4" t="n"/>
    </row>
    <row r="4">
      <c r="A4" t="inlineStr">
        <is>
          <t>SG&amp;A</t>
        </is>
      </c>
      <c r="B4" s="3" t="n">
        <v>-537326.51</v>
      </c>
      <c r="C4" s="3" t="n">
        <v>-543642.53</v>
      </c>
      <c r="D4" s="3" t="n">
        <v>-556144.4</v>
      </c>
      <c r="E4" s="4" t="n"/>
    </row>
    <row r="5">
      <c r="A5" t="inlineStr">
        <is>
          <t>R&amp;D</t>
        </is>
      </c>
      <c r="B5" s="3" t="n">
        <v>-186696.7</v>
      </c>
      <c r="C5" s="3" t="n">
        <v>-192269.04</v>
      </c>
      <c r="D5" s="3" t="n">
        <v>-196346.72</v>
      </c>
      <c r="E5" s="4" t="n"/>
    </row>
    <row r="6">
      <c r="A6" t="inlineStr">
        <is>
          <t>Depreciation</t>
        </is>
      </c>
      <c r="B6" s="3" t="n">
        <v>-61192.92</v>
      </c>
      <c r="C6" s="3" t="n">
        <v>-60823.67</v>
      </c>
      <c r="D6" s="3" t="n">
        <v>-61592.78</v>
      </c>
      <c r="E6" s="4" t="n"/>
    </row>
    <row r="7">
      <c r="A7" t="inlineStr">
        <is>
          <t>Interest expense</t>
        </is>
      </c>
      <c r="B7" s="3" t="n">
        <v>-18188.45</v>
      </c>
      <c r="C7" s="3" t="n">
        <v>-18576.47</v>
      </c>
      <c r="D7" s="3" t="n">
        <v>-19352.6</v>
      </c>
      <c r="E7" s="4" t="n"/>
    </row>
    <row r="8">
      <c r="A8" t="inlineStr">
        <is>
          <t>Interest income</t>
        </is>
      </c>
      <c r="B8" s="3" t="n">
        <v>4535.76</v>
      </c>
      <c r="C8" s="3" t="n">
        <v>4650.03</v>
      </c>
      <c r="D8" s="3" t="n">
        <v>4729.44</v>
      </c>
      <c r="E8" s="4" t="n"/>
    </row>
    <row r="9">
      <c r="A9" t="inlineStr">
        <is>
          <t>Tax expense</t>
        </is>
      </c>
      <c r="B9" s="3" t="n">
        <v>-77635.71000000001</v>
      </c>
      <c r="C9" s="3" t="n">
        <v>-78206.53999999999</v>
      </c>
      <c r="D9" s="3" t="n">
        <v>-79370.89999999999</v>
      </c>
      <c r="E9" s="4" t="n"/>
    </row>
    <row r="10">
      <c r="A10" t="inlineStr">
        <is>
          <t>Cash</t>
        </is>
      </c>
      <c r="B10" s="3" t="n">
        <v>4061311.93</v>
      </c>
      <c r="C10" s="3" t="n">
        <v>4035713.64</v>
      </c>
      <c r="D10" s="3" t="n">
        <v>4042830.79</v>
      </c>
      <c r="E10" s="4" t="n"/>
    </row>
    <row r="11">
      <c r="A11" t="inlineStr">
        <is>
          <t>AR</t>
        </is>
      </c>
      <c r="B11" s="3" t="n">
        <v>1535361.03</v>
      </c>
      <c r="C11" s="3" t="n">
        <v>1535896.52</v>
      </c>
      <c r="D11" s="3" t="n">
        <v>1559808.16</v>
      </c>
      <c r="E11" s="4" t="n"/>
    </row>
    <row r="12">
      <c r="A12" t="inlineStr">
        <is>
          <t>Inventory</t>
        </is>
      </c>
      <c r="B12" s="3" t="n">
        <v>1785211.84</v>
      </c>
      <c r="C12" s="3" t="n">
        <v>1803128.4</v>
      </c>
      <c r="D12" s="3" t="n">
        <v>1888324.76</v>
      </c>
      <c r="E12" s="4" t="n"/>
    </row>
    <row r="13">
      <c r="A13" t="inlineStr">
        <is>
          <t>Prepaid expenses</t>
        </is>
      </c>
      <c r="B13" s="3" t="n">
        <v>118968.27</v>
      </c>
      <c r="C13" s="3" t="n">
        <v>120175.97</v>
      </c>
      <c r="D13" s="3" t="n">
        <v>124102.85</v>
      </c>
      <c r="E13" s="4" t="n"/>
    </row>
    <row r="14">
      <c r="A14" t="inlineStr">
        <is>
          <t>PPE</t>
        </is>
      </c>
      <c r="B14" s="3" t="n">
        <v>5418496.64</v>
      </c>
      <c r="C14" s="3" t="n">
        <v>5439901.29</v>
      </c>
      <c r="D14" s="3" t="n">
        <v>5240690.11</v>
      </c>
      <c r="E14" s="4" t="n"/>
    </row>
    <row r="15">
      <c r="A15" t="inlineStr">
        <is>
          <t>Intangibles</t>
        </is>
      </c>
      <c r="B15" s="3" t="n">
        <v>814792.9300000001</v>
      </c>
      <c r="C15" s="3" t="n">
        <v>826392.6</v>
      </c>
      <c r="D15" s="3" t="n">
        <v>833591.47</v>
      </c>
      <c r="E15" s="4" t="n"/>
    </row>
    <row r="16">
      <c r="A16" t="inlineStr">
        <is>
          <t>AP</t>
        </is>
      </c>
      <c r="B16" s="3" t="n">
        <v>816568.84</v>
      </c>
      <c r="C16" s="3" t="n">
        <v>831171.64</v>
      </c>
      <c r="D16" s="3" t="n">
        <v>848224.47</v>
      </c>
      <c r="E16" s="4" t="n"/>
    </row>
    <row r="17">
      <c r="A17" t="inlineStr">
        <is>
          <t>Accrued expenses</t>
        </is>
      </c>
      <c r="B17" s="3" t="n">
        <v>482026.96</v>
      </c>
      <c r="C17" s="3" t="n">
        <v>478949.73</v>
      </c>
      <c r="D17" s="3" t="n">
        <v>488129.72</v>
      </c>
      <c r="E17" s="4" t="n"/>
    </row>
    <row r="18">
      <c r="A18" t="inlineStr">
        <is>
          <t>Lease liability ST</t>
        </is>
      </c>
      <c r="B18" s="3" t="n">
        <v>0</v>
      </c>
      <c r="C18" s="3" t="n">
        <v>0</v>
      </c>
      <c r="D18" s="3" t="n">
        <v>0</v>
      </c>
      <c r="E18" s="4" t="n"/>
    </row>
    <row r="19">
      <c r="A19" t="inlineStr">
        <is>
          <t>Lease liability LT</t>
        </is>
      </c>
      <c r="B19" s="3" t="n">
        <v>1205608.85</v>
      </c>
      <c r="C19" s="3" t="n">
        <v>1212796.9</v>
      </c>
      <c r="D19" s="3" t="n">
        <v>1192003.83</v>
      </c>
      <c r="E19" s="4" t="n"/>
    </row>
    <row r="20">
      <c r="A20" t="inlineStr">
        <is>
          <t>Debt</t>
        </is>
      </c>
      <c r="B20" s="3" t="n">
        <v>2574203.24</v>
      </c>
      <c r="C20" s="3" t="n">
        <v>2626554.4</v>
      </c>
      <c r="D20" s="3" t="n">
        <v>2630147.99</v>
      </c>
      <c r="E20" s="4" t="n"/>
    </row>
    <row r="21">
      <c r="A21" t="inlineStr">
        <is>
          <t>Common stock</t>
        </is>
      </c>
      <c r="B21" s="3" t="n">
        <v>1972881.87</v>
      </c>
      <c r="C21" s="3" t="n">
        <v>2020583.23</v>
      </c>
      <c r="D21" s="3" t="n">
        <v>1978718.87</v>
      </c>
      <c r="E21" s="4" t="n"/>
    </row>
    <row r="22">
      <c r="A22" t="inlineStr">
        <is>
          <t>Retained earnings prior</t>
        </is>
      </c>
      <c r="B22" s="3" t="n">
        <v>6447689.18</v>
      </c>
      <c r="C22" s="3" t="n">
        <v>6271867.35</v>
      </c>
      <c r="D22" s="3" t="n">
        <v>6232248.46</v>
      </c>
      <c r="E2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Income Statement</t>
        </is>
      </c>
    </row>
    <row r="2">
      <c r="B2" s="2" t="inlineStr">
        <is>
          <t>2026-01</t>
        </is>
      </c>
      <c r="C2" s="2" t="inlineStr">
        <is>
          <t>2026-02</t>
        </is>
      </c>
      <c r="D2" s="2" t="inlineStr">
        <is>
          <t>2026-03</t>
        </is>
      </c>
      <c r="E2" s="2" t="inlineStr">
        <is>
          <t>2026-04</t>
        </is>
      </c>
    </row>
    <row r="3">
      <c r="A3" t="inlineStr">
        <is>
          <t>Revenue</t>
        </is>
      </c>
      <c r="B3" s="4">
        <f>in_revenue_2026_01</f>
        <v/>
      </c>
      <c r="C3" s="4">
        <f>in_revenue_2026_02</f>
        <v/>
      </c>
      <c r="D3" s="4">
        <f>in_revenue_2026_03</f>
        <v/>
      </c>
      <c r="E3" s="4">
        <f>in_revenue_2026_04</f>
        <v/>
      </c>
    </row>
    <row r="4">
      <c r="A4" t="inlineStr">
        <is>
          <t>COGS</t>
        </is>
      </c>
      <c r="B4" s="4">
        <f>in_cogs_2026_01</f>
        <v/>
      </c>
      <c r="C4" s="4">
        <f>in_cogs_2026_02</f>
        <v/>
      </c>
      <c r="D4" s="4">
        <f>in_cogs_2026_03</f>
        <v/>
      </c>
      <c r="E4" s="4">
        <f>in_cogs_2026_04</f>
        <v/>
      </c>
    </row>
    <row r="5">
      <c r="A5" s="6" t="inlineStr">
        <is>
          <t>Gross profit</t>
        </is>
      </c>
      <c r="B5" s="7">
        <f>in_revenue_2026_01+in_cogs_2026_01</f>
        <v/>
      </c>
      <c r="C5" s="7">
        <f>in_revenue_2026_02+in_cogs_2026_02</f>
        <v/>
      </c>
      <c r="D5" s="7">
        <f>in_revenue_2026_03+in_cogs_2026_03</f>
        <v/>
      </c>
      <c r="E5" s="7">
        <f>in_revenue_2026_04+in_cogs_2026_04</f>
        <v/>
      </c>
    </row>
    <row r="6">
      <c r="A6" t="inlineStr">
        <is>
          <t>SG&amp;A</t>
        </is>
      </c>
      <c r="B6" s="4">
        <f>in_sganda_2026_01</f>
        <v/>
      </c>
      <c r="C6" s="4">
        <f>in_sganda_2026_02</f>
        <v/>
      </c>
      <c r="D6" s="4">
        <f>in_sganda_2026_03</f>
        <v/>
      </c>
      <c r="E6" s="4">
        <f>in_sganda_2026_04</f>
        <v/>
      </c>
    </row>
    <row r="7">
      <c r="A7" t="inlineStr">
        <is>
          <t>R&amp;D</t>
        </is>
      </c>
      <c r="B7" s="4">
        <f>in_randd_2026_01</f>
        <v/>
      </c>
      <c r="C7" s="4">
        <f>in_randd_2026_02</f>
        <v/>
      </c>
      <c r="D7" s="4">
        <f>in_randd_2026_03</f>
        <v/>
      </c>
      <c r="E7" s="4">
        <f>in_randd_2026_04</f>
        <v/>
      </c>
    </row>
    <row r="8">
      <c r="A8" t="inlineStr">
        <is>
          <t>Depreciation</t>
        </is>
      </c>
      <c r="B8" s="4">
        <f>in_depreciation_2026_01</f>
        <v/>
      </c>
      <c r="C8" s="4">
        <f>in_depreciation_2026_02</f>
        <v/>
      </c>
      <c r="D8" s="4">
        <f>in_depreciation_2026_03</f>
        <v/>
      </c>
      <c r="E8" s="4">
        <f>in_depreciation_2026_04</f>
        <v/>
      </c>
    </row>
    <row r="9">
      <c r="A9" s="6" t="inlineStr">
        <is>
          <t>Operating income</t>
        </is>
      </c>
      <c r="B9" s="7">
        <f>in_revenue_2026_01+in_cogs_2026_01+in_sganda_2026_01+in_randd_2026_01+in_depreciation_2026_01</f>
        <v/>
      </c>
      <c r="C9" s="7">
        <f>in_revenue_2026_02+in_cogs_2026_02+in_sganda_2026_02+in_randd_2026_02+in_depreciation_2026_02</f>
        <v/>
      </c>
      <c r="D9" s="7">
        <f>in_revenue_2026_03+in_cogs_2026_03+in_sganda_2026_03+in_randd_2026_03+in_depreciation_2026_03</f>
        <v/>
      </c>
      <c r="E9" s="7">
        <f>in_revenue_2026_04+in_cogs_2026_04+in_sganda_2026_04+in_randd_2026_04+in_depreciation_2026_04</f>
        <v/>
      </c>
    </row>
    <row r="10">
      <c r="A10" t="inlineStr">
        <is>
          <t>Interest income</t>
        </is>
      </c>
      <c r="B10" s="4">
        <f>in_interest_income_2026_01</f>
        <v/>
      </c>
      <c r="C10" s="4">
        <f>in_interest_income_2026_02</f>
        <v/>
      </c>
      <c r="D10" s="4">
        <f>in_interest_income_2026_03</f>
        <v/>
      </c>
      <c r="E10" s="4">
        <f>in_interest_income_2026_04</f>
        <v/>
      </c>
    </row>
    <row r="11">
      <c r="A11" t="inlineStr">
        <is>
          <t>Interest expense</t>
        </is>
      </c>
      <c r="B11" s="4">
        <f>in_interest_expense_2026_01</f>
        <v/>
      </c>
      <c r="C11" s="4">
        <f>in_interest_expense_2026_02</f>
        <v/>
      </c>
      <c r="D11" s="4">
        <f>in_interest_expense_2026_03</f>
        <v/>
      </c>
      <c r="E11" s="4">
        <f>in_interest_expense_2026_04</f>
        <v/>
      </c>
    </row>
    <row r="12">
      <c r="A12" s="6" t="inlineStr">
        <is>
          <t>Pretax income</t>
        </is>
      </c>
      <c r="B12" s="7">
        <f>in_revenue_2026_01+in_cogs_2026_01+in_sganda_2026_01+in_randd_2026_01+in_depreciation_2026_01+in_interest_income_2026_01+in_interest_expense_2026_01</f>
        <v/>
      </c>
      <c r="C12" s="7">
        <f>in_revenue_2026_02+in_cogs_2026_02+in_sganda_2026_02+in_randd_2026_02+in_depreciation_2026_02+in_interest_income_2026_02+in_interest_expense_2026_02</f>
        <v/>
      </c>
      <c r="D12" s="7">
        <f>in_revenue_2026_03+in_cogs_2026_03+in_sganda_2026_03+in_randd_2026_03+in_depreciation_2026_03+in_interest_income_2026_03+in_interest_expense_2026_03</f>
        <v/>
      </c>
      <c r="E12" s="7">
        <f>in_revenue_2026_04+in_cogs_2026_04+in_sganda_2026_04+in_randd_2026_04+in_depreciation_2026_04+in_interest_income_2026_04+in_interest_expense_2026_04</f>
        <v/>
      </c>
    </row>
    <row r="13">
      <c r="A13" t="inlineStr">
        <is>
          <t>Tax expense</t>
        </is>
      </c>
      <c r="B13" s="4">
        <f>in_tax_expense_2026_01</f>
        <v/>
      </c>
      <c r="C13" s="4">
        <f>in_tax_expense_2026_02</f>
        <v/>
      </c>
      <c r="D13" s="4">
        <f>in_tax_expense_2026_03</f>
        <v/>
      </c>
      <c r="E13" s="4">
        <f>in_tax_expense_2026_04</f>
        <v/>
      </c>
    </row>
    <row r="14">
      <c r="A14" s="6" t="inlineStr">
        <is>
          <t>Net income</t>
        </is>
      </c>
      <c r="B14" s="7">
        <f>in_revenue_2026_01+in_cogs_2026_01+in_sganda_2026_01+in_randd_2026_01+in_depreciation_2026_01+in_interest_income_2026_01+in_interest_expense_2026_01+in_tax_expense_2026_01</f>
        <v/>
      </c>
      <c r="C14" s="7">
        <f>in_revenue_2026_02+in_cogs_2026_02+in_sganda_2026_02+in_randd_2026_02+in_depreciation_2026_02+in_interest_income_2026_02+in_interest_expense_2026_02+in_tax_expense_2026_02</f>
        <v/>
      </c>
      <c r="D14" s="7">
        <f>in_revenue_2026_03+in_cogs_2026_03+in_sganda_2026_03+in_randd_2026_03+in_depreciation_2026_03+in_interest_income_2026_03+in_interest_expense_2026_03+in_tax_expense_2026_03</f>
        <v/>
      </c>
      <c r="E14" s="7">
        <f>in_revenue_2026_04+in_cogs_2026_04+in_sganda_2026_04+in_randd_2026_04+in_depreciation_2026_04+in_interest_income_2026_04+in_interest_expense_2026_04+in_tax_expense_2026_04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Balance Sheet</t>
        </is>
      </c>
    </row>
    <row r="2">
      <c r="B2" s="2" t="inlineStr">
        <is>
          <t>2026-01</t>
        </is>
      </c>
      <c r="C2" s="2" t="inlineStr">
        <is>
          <t>2026-02</t>
        </is>
      </c>
      <c r="D2" s="2" t="inlineStr">
        <is>
          <t>2026-03</t>
        </is>
      </c>
      <c r="E2" s="2" t="inlineStr">
        <is>
          <t>2026-04</t>
        </is>
      </c>
    </row>
    <row r="3">
      <c r="A3" t="inlineStr">
        <is>
          <t>Cash</t>
        </is>
      </c>
      <c r="B3" s="4">
        <f>in_cash_2026_01</f>
        <v/>
      </c>
      <c r="C3" s="4">
        <f>in_cash_2026_02</f>
        <v/>
      </c>
      <c r="D3" s="4">
        <f>in_cash_2026_03</f>
        <v/>
      </c>
      <c r="E3" s="4">
        <f>in_cash_2026_04</f>
        <v/>
      </c>
    </row>
    <row r="4">
      <c r="A4" t="inlineStr">
        <is>
          <t>AR</t>
        </is>
      </c>
      <c r="B4" s="4">
        <f>in_ar_2026_01</f>
        <v/>
      </c>
      <c r="C4" s="4">
        <f>in_ar_2026_02</f>
        <v/>
      </c>
      <c r="D4" s="4">
        <f>in_ar_2026_03</f>
        <v/>
      </c>
      <c r="E4" s="4">
        <f>in_ar_2026_04</f>
        <v/>
      </c>
    </row>
    <row r="5">
      <c r="A5" t="inlineStr">
        <is>
          <t>Inventory</t>
        </is>
      </c>
      <c r="B5" s="4">
        <f>in_inventory_2026_01</f>
        <v/>
      </c>
      <c r="C5" s="4">
        <f>in_inventory_2026_02</f>
        <v/>
      </c>
      <c r="D5" s="4">
        <f>in_inventory_2026_03</f>
        <v/>
      </c>
      <c r="E5" s="4">
        <f>in_inventory_2026_04</f>
        <v/>
      </c>
    </row>
    <row r="6">
      <c r="A6" t="inlineStr">
        <is>
          <t>Prepaid expenses</t>
        </is>
      </c>
      <c r="B6" s="4">
        <f>in_prepaid_expenses_2026_01</f>
        <v/>
      </c>
      <c r="C6" s="4">
        <f>in_prepaid_expenses_2026_02</f>
        <v/>
      </c>
      <c r="D6" s="4">
        <f>in_prepaid_expenses_2026_03</f>
        <v/>
      </c>
      <c r="E6" s="4">
        <f>in_prepaid_expenses_2026_04</f>
        <v/>
      </c>
    </row>
    <row r="7">
      <c r="A7" t="inlineStr">
        <is>
          <t>PPE (net)</t>
        </is>
      </c>
      <c r="B7" s="4">
        <f>in_ppe_2026_01</f>
        <v/>
      </c>
      <c r="C7" s="4">
        <f>in_ppe_2026_02</f>
        <v/>
      </c>
      <c r="D7" s="4">
        <f>in_ppe_2026_03</f>
        <v/>
      </c>
      <c r="E7" s="4">
        <f>in_ppe_2026_04</f>
        <v/>
      </c>
    </row>
    <row r="8">
      <c r="A8" t="inlineStr">
        <is>
          <t>Intangibles</t>
        </is>
      </c>
      <c r="B8" s="4">
        <f>in_intangibles_2026_01</f>
        <v/>
      </c>
      <c r="C8" s="4">
        <f>in_intangibles_2026_02</f>
        <v/>
      </c>
      <c r="D8" s="4">
        <f>in_intangibles_2026_03</f>
        <v/>
      </c>
      <c r="E8" s="4">
        <f>in_intangibles_2026_04</f>
        <v/>
      </c>
    </row>
    <row r="9">
      <c r="A9" s="6" t="inlineStr">
        <is>
          <t>Total assets</t>
        </is>
      </c>
      <c r="B9" s="7">
        <f>in_cash_2026_01+in_ar_2026_01+in_inventory_2026_01+in_prepaid_expenses_2026_01+in_ppe_2026_01+in_intangibles_2026_01</f>
        <v/>
      </c>
      <c r="C9" s="7">
        <f>in_cash_2026_02+in_ar_2026_02+in_inventory_2026_02+in_prepaid_expenses_2026_02+in_ppe_2026_02+in_intangibles_2026_02</f>
        <v/>
      </c>
      <c r="D9" s="7">
        <f>in_cash_2026_03+in_ar_2026_03+in_inventory_2026_03+in_prepaid_expenses_2026_03+in_ppe_2026_03+in_intangibles_2026_03</f>
        <v/>
      </c>
      <c r="E9" s="7">
        <f>in_cash_2026_04+in_ar_2026_04+in_inventory_2026_04+in_prepaid_expenses_2026_04+in_ppe_2026_04+in_intangibles_2026_04</f>
        <v/>
      </c>
    </row>
    <row r="10">
      <c r="A10" t="inlineStr">
        <is>
          <t>AP</t>
        </is>
      </c>
      <c r="B10" s="4">
        <f>in_ap_2026_01</f>
        <v/>
      </c>
      <c r="C10" s="4">
        <f>in_ap_2026_02</f>
        <v/>
      </c>
      <c r="D10" s="4">
        <f>in_ap_2026_03</f>
        <v/>
      </c>
      <c r="E10" s="4">
        <f>in_ap_2026_04</f>
        <v/>
      </c>
    </row>
    <row r="11">
      <c r="A11" t="inlineStr">
        <is>
          <t>Accrued expenses</t>
        </is>
      </c>
      <c r="B11" s="4">
        <f>in_accrued_expenses_2026_01</f>
        <v/>
      </c>
      <c r="C11" s="4">
        <f>in_accrued_expenses_2026_02</f>
        <v/>
      </c>
      <c r="D11" s="4">
        <f>in_accrued_expenses_2026_03</f>
        <v/>
      </c>
      <c r="E11" s="4">
        <f>in_accrued_expenses_2026_04</f>
        <v/>
      </c>
    </row>
    <row r="12">
      <c r="A12" t="inlineStr">
        <is>
          <t>Lease liability ST</t>
        </is>
      </c>
      <c r="B12" s="4">
        <f>in_lease_liability_st_2026_01</f>
        <v/>
      </c>
      <c r="C12" s="4">
        <f>in_lease_liability_st_2026_02</f>
        <v/>
      </c>
      <c r="D12" s="4">
        <f>in_lease_liability_st_2026_03</f>
        <v/>
      </c>
      <c r="E12" s="4">
        <f>in_lease_liability_st_2026_04</f>
        <v/>
      </c>
    </row>
    <row r="13">
      <c r="A13" t="inlineStr">
        <is>
          <t>Lease liability LT</t>
        </is>
      </c>
      <c r="B13" s="4">
        <f>in_lease_liability_lt_2026_01</f>
        <v/>
      </c>
      <c r="C13" s="4">
        <f>in_lease_liability_lt_2026_02</f>
        <v/>
      </c>
      <c r="D13" s="4">
        <f>in_lease_liability_lt_2026_03</f>
        <v/>
      </c>
      <c r="E13" s="4">
        <f>in_lease_liability_lt_2026_04</f>
        <v/>
      </c>
    </row>
    <row r="14">
      <c r="A14" t="inlineStr">
        <is>
          <t>Debt</t>
        </is>
      </c>
      <c r="B14" s="4">
        <f>in_debt_2026_01</f>
        <v/>
      </c>
      <c r="C14" s="4">
        <f>in_debt_2026_02</f>
        <v/>
      </c>
      <c r="D14" s="4">
        <f>in_debt_2026_03</f>
        <v/>
      </c>
      <c r="E14" s="4">
        <f>in_debt_2026_04</f>
        <v/>
      </c>
    </row>
    <row r="15">
      <c r="A15" s="6" t="inlineStr">
        <is>
          <t>Total liabilities</t>
        </is>
      </c>
      <c r="B15" s="7">
        <f>in_ap_2026_01+in_accrued_expenses_2026_01+in_lease_liability_st_2026_01+in_lease_liability_lt_2026_01+in_debt_2026_01</f>
        <v/>
      </c>
      <c r="C15" s="7">
        <f>in_ap_2026_02+in_accrued_expenses_2026_02+in_lease_liability_st_2026_02+in_lease_liability_lt_2026_02+in_debt_2026_02</f>
        <v/>
      </c>
      <c r="D15" s="7">
        <f>in_ap_2026_03+in_accrued_expenses_2026_03+in_lease_liability_st_2026_03+in_lease_liability_lt_2026_03+in_debt_2026_03</f>
        <v/>
      </c>
      <c r="E15" s="7">
        <f>in_ap_2026_04+in_accrued_expenses_2026_04+in_lease_liability_st_2026_04+in_lease_liability_lt_2026_04+in_debt_2026_04</f>
        <v/>
      </c>
    </row>
    <row r="16">
      <c r="A16" t="inlineStr">
        <is>
          <t>Common stock</t>
        </is>
      </c>
      <c r="B16" s="4">
        <f>in_common_stock_2026_01</f>
        <v/>
      </c>
      <c r="C16" s="4">
        <f>in_common_stock_2026_02</f>
        <v/>
      </c>
      <c r="D16" s="4">
        <f>in_common_stock_2026_03</f>
        <v/>
      </c>
      <c r="E16" s="4">
        <f>in_common_stock_2026_04</f>
        <v/>
      </c>
    </row>
    <row r="17">
      <c r="A17" t="inlineStr">
        <is>
          <t>Retained earnings</t>
        </is>
      </c>
      <c r="B17" s="4">
        <f>in_retained_earnings_prior_2026_01+IS!B14</f>
        <v/>
      </c>
      <c r="C17" s="4">
        <f>in_retained_earnings_prior_2026_02+IS!C14</f>
        <v/>
      </c>
      <c r="D17" s="4">
        <f>in_retained_earnings_prior_2026_03+IS!D14</f>
        <v/>
      </c>
      <c r="E17" s="4">
        <f>in_retained_earnings_prior_2026_04+IS!E14</f>
        <v/>
      </c>
    </row>
    <row r="18">
      <c r="A18" s="6" t="inlineStr">
        <is>
          <t>Total equity</t>
        </is>
      </c>
      <c r="B18" s="7">
        <f>in_common_stock_2026_01+in_retained_earnings_prior_2026_01+IS!B14</f>
        <v/>
      </c>
      <c r="C18" s="7">
        <f>in_common_stock_2026_02+in_retained_earnings_prior_2026_02+IS!C14</f>
        <v/>
      </c>
      <c r="D18" s="7">
        <f>in_common_stock_2026_03+in_retained_earnings_prior_2026_03+IS!D14</f>
        <v/>
      </c>
      <c r="E18" s="7">
        <f>in_common_stock_2026_04+in_retained_earnings_prior_2026_04+IS!E14</f>
        <v/>
      </c>
    </row>
    <row r="19">
      <c r="A19" s="6" t="inlineStr">
        <is>
          <t>Check (A - L - E)</t>
        </is>
      </c>
      <c r="B19" s="7">
        <f>B9-B15-B18</f>
        <v/>
      </c>
      <c r="C19" s="7">
        <f>C9-C15-C18</f>
        <v/>
      </c>
      <c r="D19" s="7">
        <f>D9-D15-D18</f>
        <v/>
      </c>
      <c r="E19" s="7">
        <f>E9-E15-E18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Cash Flow</t>
        </is>
      </c>
    </row>
    <row r="2">
      <c r="B2" s="2" t="inlineStr">
        <is>
          <t>2026-01</t>
        </is>
      </c>
      <c r="C2" s="2" t="inlineStr">
        <is>
          <t>2026-02</t>
        </is>
      </c>
      <c r="D2" s="2" t="inlineStr">
        <is>
          <t>2026-03</t>
        </is>
      </c>
      <c r="E2" s="2" t="inlineStr">
        <is>
          <t>2026-04</t>
        </is>
      </c>
    </row>
    <row r="3">
      <c r="A3" t="inlineStr">
        <is>
          <t>Net income</t>
        </is>
      </c>
      <c r="B3" s="4">
        <f>IS!B14</f>
        <v/>
      </c>
      <c r="C3" s="4">
        <f>IS!C14</f>
        <v/>
      </c>
      <c r="D3" s="4">
        <f>IS!D14</f>
        <v/>
      </c>
      <c r="E3" s="4">
        <f>IS!E14</f>
        <v/>
      </c>
    </row>
    <row r="4">
      <c r="A4" t="inlineStr">
        <is>
          <t>+ Depreciation</t>
        </is>
      </c>
      <c r="B4" s="4">
        <f>-in_depreciation_2026_01</f>
        <v/>
      </c>
      <c r="C4" s="4">
        <f>-in_depreciation_2026_02</f>
        <v/>
      </c>
      <c r="D4" s="4">
        <f>-in_depreciation_2026_03</f>
        <v/>
      </c>
      <c r="E4" s="4">
        <f>-in_depreciation_2026_04</f>
        <v/>
      </c>
    </row>
    <row r="5">
      <c r="A5" t="inlineStr">
        <is>
          <t>- Change in AR</t>
        </is>
      </c>
      <c r="C5" s="4">
        <f>-(in_ar_2026_02-in_ar_2026_01)</f>
        <v/>
      </c>
      <c r="D5" s="4">
        <f>-(in_ar_2026_03-in_ar_2026_02)</f>
        <v/>
      </c>
      <c r="E5" s="4">
        <f>-(in_ar_2026_04-in_ar_2026_03)</f>
        <v/>
      </c>
    </row>
    <row r="6">
      <c r="A6" t="inlineStr">
        <is>
          <t>- Change in Inventory</t>
        </is>
      </c>
      <c r="C6" s="4">
        <f>-(in_inventory_2026_02-in_inventory_2026_01)</f>
        <v/>
      </c>
      <c r="D6" s="4">
        <f>-(in_inventory_2026_03-in_inventory_2026_02)</f>
        <v/>
      </c>
      <c r="E6" s="4">
        <f>-(in_inventory_2026_04-in_inventory_2026_03)</f>
        <v/>
      </c>
    </row>
    <row r="7">
      <c r="A7" t="inlineStr">
        <is>
          <t>+ Change in AP</t>
        </is>
      </c>
      <c r="C7" s="4">
        <f>in_ap_2026_02-in_ap_2026_01</f>
        <v/>
      </c>
      <c r="D7" s="4">
        <f>in_ap_2026_03-in_ap_2026_02</f>
        <v/>
      </c>
      <c r="E7" s="4">
        <f>in_ap_2026_04-in_ap_2026_03</f>
        <v/>
      </c>
    </row>
    <row r="8">
      <c r="A8" t="inlineStr">
        <is>
          <t>+ Change in Accrued</t>
        </is>
      </c>
      <c r="C8" s="4">
        <f>in_accrued_expenses_2026_02-in_accrued_expenses_2026_01</f>
        <v/>
      </c>
      <c r="D8" s="4">
        <f>in_accrued_expenses_2026_03-in_accrued_expenses_2026_02</f>
        <v/>
      </c>
      <c r="E8" s="4">
        <f>in_accrued_expenses_2026_04-in_accrued_expenses_2026_03</f>
        <v/>
      </c>
    </row>
    <row r="9">
      <c r="A9" s="6" t="inlineStr">
        <is>
          <t>Cash from operations</t>
        </is>
      </c>
      <c r="B9" s="7">
        <f>SUM(B3:B8)</f>
        <v/>
      </c>
      <c r="C9" s="7">
        <f>SUM(C3:C8)</f>
        <v/>
      </c>
      <c r="D9" s="7">
        <f>SUM(D3:D8)</f>
        <v/>
      </c>
      <c r="E9" s="7">
        <f>SUM(E3:E8)</f>
        <v/>
      </c>
    </row>
    <row r="10">
      <c r="A10" t="inlineStr">
        <is>
          <t>- Change in PPE</t>
        </is>
      </c>
      <c r="C10" s="4">
        <f>-(in_ppe_2026_02-in_ppe_2026_01)</f>
        <v/>
      </c>
      <c r="D10" s="4">
        <f>-(in_ppe_2026_03-in_ppe_2026_02)</f>
        <v/>
      </c>
      <c r="E10" s="4">
        <f>-(in_ppe_2026_04-in_ppe_2026_03)</f>
        <v/>
      </c>
    </row>
    <row r="11">
      <c r="A11" s="6" t="inlineStr">
        <is>
          <t>Cash from investing</t>
        </is>
      </c>
      <c r="B11" s="7">
        <f>B10</f>
        <v/>
      </c>
      <c r="C11" s="7">
        <f>C10</f>
        <v/>
      </c>
      <c r="D11" s="7">
        <f>D10</f>
        <v/>
      </c>
      <c r="E11" s="7">
        <f>E10</f>
        <v/>
      </c>
    </row>
    <row r="12">
      <c r="A12" t="inlineStr">
        <is>
          <t>+ Change in Debt</t>
        </is>
      </c>
      <c r="C12" s="4">
        <f>in_debt_2026_02-in_debt_2026_01</f>
        <v/>
      </c>
      <c r="D12" s="4">
        <f>in_debt_2026_03-in_debt_2026_02</f>
        <v/>
      </c>
      <c r="E12" s="4">
        <f>in_debt_2026_04-in_debt_2026_03</f>
        <v/>
      </c>
    </row>
    <row r="13">
      <c r="A13" t="inlineStr">
        <is>
          <t>+ Change in Lease liabilities</t>
        </is>
      </c>
      <c r="C13" s="4">
        <f>(in_lease_liability_st_2026_02-in_lease_liability_st_2026_01)+(in_lease_liability_lt_2026_02-in_lease_liability_lt_2026_01)</f>
        <v/>
      </c>
      <c r="D13" s="4">
        <f>(in_lease_liability_st_2026_03-in_lease_liability_st_2026_02)+(in_lease_liability_lt_2026_03-in_lease_liability_lt_2026_02)</f>
        <v/>
      </c>
      <c r="E13" s="4">
        <f>(in_lease_liability_st_2026_04-in_lease_liability_st_2026_03)+(in_lease_liability_lt_2026_04-in_lease_liability_lt_2026_03)</f>
        <v/>
      </c>
    </row>
    <row r="14">
      <c r="A14" s="6" t="inlineStr">
        <is>
          <t>Cash from financing</t>
        </is>
      </c>
      <c r="B14" s="7">
        <f>SUM(B12:B13)</f>
        <v/>
      </c>
      <c r="C14" s="7">
        <f>SUM(C12:C13)</f>
        <v/>
      </c>
      <c r="D14" s="7">
        <f>SUM(D12:D13)</f>
        <v/>
      </c>
      <c r="E14" s="7">
        <f>SUM(E12:E13)</f>
        <v/>
      </c>
    </row>
    <row r="15">
      <c r="A15" s="6" t="inlineStr">
        <is>
          <t>Net change in cash</t>
        </is>
      </c>
      <c r="B15" s="7">
        <f>B8+B10+B14</f>
        <v/>
      </c>
      <c r="C15" s="7">
        <f>C8+C10+C14</f>
        <v/>
      </c>
      <c r="D15" s="7">
        <f>D8+D10+D14</f>
        <v/>
      </c>
      <c r="E15" s="7">
        <f>E8+E10+E14</f>
        <v/>
      </c>
    </row>
    <row r="16">
      <c r="A16" t="inlineStr">
        <is>
          <t>Memo: Change in cash on BS</t>
        </is>
      </c>
      <c r="C16" s="4">
        <f>in_cash_2026_02-in_cash_2026_01</f>
        <v/>
      </c>
      <c r="D16" s="4">
        <f>in_cash_2026_03-in_cash_2026_02</f>
        <v/>
      </c>
      <c r="E16" s="4">
        <f>in_cash_2026_04-in_cash_2026_03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Three-statement model - sample for vibecoding case</t>
        </is>
      </c>
    </row>
    <row r="2">
      <c r="A2" t="inlineStr"/>
    </row>
    <row r="3">
      <c r="A3" t="inlineStr">
        <is>
          <t>The Inputs tab holds period numbers. Jan/Feb/Mar are frozen actuals</t>
        </is>
      </c>
    </row>
    <row r="4">
      <c r="A4" t="inlineStr">
        <is>
          <t>from prior monthly updates; April is empty and gets populated by</t>
        </is>
      </c>
    </row>
    <row r="5">
      <c r="A5" t="inlineStr">
        <is>
          <t>the automation script the analyst runs each month.</t>
        </is>
      </c>
    </row>
    <row r="6">
      <c r="A6" t="inlineStr"/>
    </row>
    <row r="7">
      <c r="A7" t="inlineStr">
        <is>
          <t>Each cell on Inputs has a defined name like in_revenue_2026_04 so</t>
        </is>
      </c>
    </row>
    <row r="8">
      <c r="A8" t="inlineStr">
        <is>
          <t>the script can write by name rather than by cell coordinate.</t>
        </is>
      </c>
    </row>
    <row r="9">
      <c r="A9" t="inlineStr"/>
    </row>
    <row r="10">
      <c r="A10" t="inlineStr">
        <is>
          <t>IS / BS / CF tabs reference Inputs through those names. Do not</t>
        </is>
      </c>
    </row>
    <row r="11">
      <c r="A11" t="inlineStr">
        <is>
          <t>type numbers directly into IS, BS, or CF.</t>
        </is>
      </c>
    </row>
    <row r="12">
      <c r="A12" t="inlineStr"/>
    </row>
    <row r="13">
      <c r="A13" t="inlineStr">
        <is>
          <t>Each new month, extend Inputs with one more column to the right</t>
        </is>
      </c>
    </row>
    <row r="14">
      <c r="A14" t="inlineStr">
        <is>
          <t>and add defined names for the new period before running the</t>
        </is>
      </c>
    </row>
    <row r="15">
      <c r="A15" t="inlineStr">
        <is>
          <t>script. The script does the rest.</t>
        </is>
      </c>
    </row>
    <row r="16">
      <c r="A16" t="inlineStr"/>
    </row>
    <row r="17">
      <c r="A17" t="inlineStr">
        <is>
          <t>Sign convention on Inputs:</t>
        </is>
      </c>
    </row>
    <row r="18">
      <c r="A18" t="inlineStr">
        <is>
          <t xml:space="preserve">  Revenue is positive, all expenses are negative.</t>
        </is>
      </c>
    </row>
    <row r="19">
      <c r="A19" t="inlineStr">
        <is>
          <t xml:space="preserve">  Assets are positive, liabilities and equity are positive.</t>
        </is>
      </c>
    </row>
    <row r="20">
      <c r="A20" t="inlineStr">
        <is>
          <t xml:space="preserve">  Depreciation on Inputs is negative (an expense); the CF tab</t>
        </is>
      </c>
    </row>
    <row r="21">
      <c r="A21" t="inlineStr">
        <is>
          <t xml:space="preserve">  adds it back as a positive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2026-05-20T20:48:53Z</dcterms:created>
  <dcterms:modified xmlns:dcterms="http://purl.org/dc/terms/" xmlns:xsi="http://www.w3.org/2001/XMLSchema-instance" xsi:type="dcterms:W3CDTF">2026-05-20T20:48:53Z</dcterms:modified>
</cp:coreProperties>
</file>