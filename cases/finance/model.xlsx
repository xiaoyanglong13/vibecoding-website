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BE6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0" fontId="4" fillId="0" borderId="0" pivotButton="0" quotePrefix="0" xfId="0"/>
    <xf numFmtId="0" fontId="3" fillId="0" borderId="0" pivotButton="0" quotePrefix="0" xfId="0"/>
    <xf numFmtId="3" fontId="3" fillId="3" borderId="0" applyAlignment="1" pivotButton="0" quotePrefix="0" xfId="0">
      <alignment horizontal="right"/>
    </xf>
    <xf numFmtId="3" fontId="2" fillId="4" borderId="1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3" fontId="5" fillId="0" borderId="0" applyAlignment="1" pivotButton="0" quotePrefix="0" xfId="0">
      <alignment horizontal="right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INCOME STATEMENT</t>
        </is>
      </c>
      <c r="B1" s="2" t="n"/>
      <c r="C1" s="2" t="n"/>
      <c r="D1" s="2" t="n"/>
      <c r="E1" s="2" t="n"/>
    </row>
    <row r="2">
      <c r="A2" s="3" t="inlineStr">
        <is>
          <t>Line Item</t>
        </is>
      </c>
      <c r="B2" s="4" t="inlineStr">
        <is>
          <t>Jan-24</t>
        </is>
      </c>
      <c r="C2" s="4" t="inlineStr">
        <is>
          <t>Feb-24</t>
        </is>
      </c>
      <c r="D2" s="4" t="inlineStr">
        <is>
          <t>Mar-24</t>
        </is>
      </c>
      <c r="E2" s="4" t="inlineStr">
        <is>
          <t>Apr-24 (Act)</t>
        </is>
      </c>
    </row>
    <row r="3">
      <c r="A3" s="5" t="inlineStr">
        <is>
          <t>Revenue</t>
        </is>
      </c>
    </row>
    <row r="4">
      <c r="A4" s="6" t="inlineStr">
        <is>
          <t xml:space="preserve">  Product revenue</t>
        </is>
      </c>
      <c r="B4" s="7" t="n">
        <v>3540000</v>
      </c>
      <c r="C4" s="7" t="n">
        <v>3680000</v>
      </c>
      <c r="D4" s="7" t="n">
        <v>3750000</v>
      </c>
      <c r="E4" s="7" t="n">
        <v>3820000</v>
      </c>
    </row>
    <row r="5">
      <c r="A5" s="6" t="inlineStr">
        <is>
          <t xml:space="preserve">  Services revenue</t>
        </is>
      </c>
      <c r="B5" s="7" t="n">
        <v>570000</v>
      </c>
      <c r="C5" s="7" t="n">
        <v>590000</v>
      </c>
      <c r="D5" s="7" t="n">
        <v>600000</v>
      </c>
      <c r="E5" s="7" t="n">
        <v>610000</v>
      </c>
    </row>
    <row r="6">
      <c r="A6" s="6" t="inlineStr">
        <is>
          <t>Total Revenue</t>
        </is>
      </c>
      <c r="B6" s="8">
        <f>SUM(B4:B5)</f>
        <v/>
      </c>
      <c r="C6" s="8">
        <f>SUM(C4:C5)</f>
        <v/>
      </c>
      <c r="D6" s="8">
        <f>SUM(D4:D5)</f>
        <v/>
      </c>
      <c r="E6" s="8">
        <f>SUM(E4:E5)</f>
        <v/>
      </c>
    </row>
    <row r="7">
      <c r="A7" s="6" t="inlineStr">
        <is>
          <t xml:space="preserve">  Cost of Goods Sold</t>
        </is>
      </c>
      <c r="B7" s="7" t="n">
        <v>1530000</v>
      </c>
      <c r="C7" s="7" t="n">
        <v>1590000</v>
      </c>
      <c r="D7" s="7" t="n">
        <v>1620000</v>
      </c>
      <c r="E7" s="7" t="n">
        <v>1654000</v>
      </c>
    </row>
    <row r="8">
      <c r="A8" s="6" t="inlineStr">
        <is>
          <t>Gross Profit</t>
        </is>
      </c>
      <c r="B8" s="8">
        <f>B6-B7</f>
        <v/>
      </c>
      <c r="C8" s="8">
        <f>C6-C7</f>
        <v/>
      </c>
      <c r="D8" s="8">
        <f>D6-D7</f>
        <v/>
      </c>
      <c r="E8" s="8">
        <f>E6-E7</f>
        <v/>
      </c>
    </row>
    <row r="10">
      <c r="A10" s="5" t="inlineStr">
        <is>
          <t>Operating Expenses</t>
        </is>
      </c>
    </row>
    <row r="11">
      <c r="A11" s="6" t="inlineStr">
        <is>
          <t xml:space="preserve">  Sales &amp; Marketing</t>
        </is>
      </c>
      <c r="B11" s="7" t="n">
        <v>500000</v>
      </c>
      <c r="C11" s="7" t="n">
        <v>520000</v>
      </c>
      <c r="D11" s="7" t="n">
        <v>530000</v>
      </c>
      <c r="E11" s="7" t="n">
        <v>542000</v>
      </c>
    </row>
    <row r="12">
      <c r="A12" s="6" t="inlineStr">
        <is>
          <t xml:space="preserve">  Research &amp; Development</t>
        </is>
      </c>
      <c r="B12" s="7" t="n">
        <v>360000</v>
      </c>
      <c r="C12" s="7" t="n">
        <v>375000</v>
      </c>
      <c r="D12" s="7" t="n">
        <v>382000</v>
      </c>
      <c r="E12" s="7" t="n">
        <v>388000</v>
      </c>
    </row>
    <row r="13">
      <c r="A13" s="6" t="inlineStr">
        <is>
          <t xml:space="preserve">  General &amp; Administrative</t>
        </is>
      </c>
      <c r="B13" s="7" t="n">
        <v>195000</v>
      </c>
      <c r="C13" s="7" t="n">
        <v>202000</v>
      </c>
      <c r="D13" s="7" t="n">
        <v>207000</v>
      </c>
      <c r="E13" s="7" t="n">
        <v>211000</v>
      </c>
    </row>
    <row r="14">
      <c r="A14" s="6" t="inlineStr">
        <is>
          <t>Total OpEx</t>
        </is>
      </c>
      <c r="B14" s="8">
        <f>SUM(B11:B13)</f>
        <v/>
      </c>
      <c r="C14" s="8">
        <f>SUM(C11:C13)</f>
        <v/>
      </c>
      <c r="D14" s="8">
        <f>SUM(D11:D13)</f>
        <v/>
      </c>
      <c r="E14" s="8">
        <f>SUM(E11:E13)</f>
        <v/>
      </c>
    </row>
    <row r="16">
      <c r="A16" s="6" t="inlineStr">
        <is>
          <t>EBITDA</t>
        </is>
      </c>
      <c r="B16" s="8">
        <f>B8-B14</f>
        <v/>
      </c>
      <c r="C16" s="8">
        <f>C8-C14</f>
        <v/>
      </c>
      <c r="D16" s="8">
        <f>D8-D14</f>
        <v/>
      </c>
      <c r="E16" s="8">
        <f>E8-E14</f>
        <v/>
      </c>
    </row>
    <row r="17">
      <c r="A17" s="6" t="inlineStr">
        <is>
          <t xml:space="preserve">  D&amp;A</t>
        </is>
      </c>
      <c r="B17" s="7" t="n">
        <v>88000</v>
      </c>
      <c r="C17" s="7" t="n">
        <v>90000</v>
      </c>
      <c r="D17" s="7" t="n">
        <v>92000</v>
      </c>
      <c r="E17" s="7" t="n">
        <v>94000</v>
      </c>
    </row>
    <row r="18">
      <c r="A18" s="6" t="inlineStr">
        <is>
          <t>EBIT</t>
        </is>
      </c>
      <c r="B18" s="8">
        <f>B16-B17</f>
        <v/>
      </c>
      <c r="C18" s="8">
        <f>C16-C17</f>
        <v/>
      </c>
      <c r="D18" s="8">
        <f>D16-D17</f>
        <v/>
      </c>
      <c r="E18" s="8">
        <f>E16-E17</f>
        <v/>
      </c>
    </row>
    <row r="19">
      <c r="A19" s="6" t="inlineStr">
        <is>
          <t xml:space="preserve">  Interest Expense</t>
        </is>
      </c>
      <c r="B19" s="7" t="n">
        <v>90000</v>
      </c>
      <c r="C19" s="7" t="n">
        <v>89000</v>
      </c>
      <c r="D19" s="7" t="n">
        <v>88000</v>
      </c>
      <c r="E19" s="7" t="n">
        <v>87000</v>
      </c>
    </row>
    <row r="20">
      <c r="A20" s="6" t="inlineStr">
        <is>
          <t>Pre-Tax Income</t>
        </is>
      </c>
      <c r="B20" s="8">
        <f>B18-B19</f>
        <v/>
      </c>
      <c r="C20" s="8">
        <f>C18-C19</f>
        <v/>
      </c>
      <c r="D20" s="8">
        <f>D18-D19</f>
        <v/>
      </c>
      <c r="E20" s="8">
        <f>E18-E19</f>
        <v/>
      </c>
    </row>
    <row r="21">
      <c r="A21" s="6" t="inlineStr">
        <is>
          <t xml:space="preserve">  Income Tax (22%)</t>
        </is>
      </c>
      <c r="B21" s="9">
        <f>B20*0.22</f>
        <v/>
      </c>
      <c r="C21" s="9">
        <f>C20*0.22</f>
        <v/>
      </c>
      <c r="D21" s="9">
        <f>D20*0.22</f>
        <v/>
      </c>
      <c r="E21" s="9">
        <f>E20*0.22</f>
        <v/>
      </c>
    </row>
    <row r="22">
      <c r="A22" s="6" t="inlineStr">
        <is>
          <t>Net Income</t>
        </is>
      </c>
      <c r="B22" s="8">
        <f>B20-B21</f>
        <v/>
      </c>
      <c r="C22" s="8">
        <f>C20-C21</f>
        <v/>
      </c>
      <c r="D22" s="8">
        <f>D20-D21</f>
        <v/>
      </c>
      <c r="E22" s="8">
        <f>E20-E21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BALANCE SHEET</t>
        </is>
      </c>
      <c r="B1" s="2" t="n"/>
      <c r="C1" s="2" t="n"/>
      <c r="D1" s="2" t="n"/>
      <c r="E1" s="2" t="n"/>
    </row>
    <row r="2">
      <c r="A2" s="3" t="inlineStr">
        <is>
          <t>Line Item</t>
        </is>
      </c>
      <c r="B2" s="4" t="inlineStr">
        <is>
          <t>Jan-24</t>
        </is>
      </c>
      <c r="C2" s="4" t="inlineStr">
        <is>
          <t>Feb-24</t>
        </is>
      </c>
      <c r="D2" s="4" t="inlineStr">
        <is>
          <t>Mar-24</t>
        </is>
      </c>
      <c r="E2" s="4" t="inlineStr">
        <is>
          <t>Apr-24 (Act)</t>
        </is>
      </c>
    </row>
    <row r="3">
      <c r="A3" s="5" t="inlineStr">
        <is>
          <t>ASSETS</t>
        </is>
      </c>
    </row>
    <row r="4">
      <c r="A4" s="6" t="inlineStr">
        <is>
          <t xml:space="preserve">  Cash &amp; Equivalents</t>
        </is>
      </c>
      <c r="B4" s="7" t="n">
        <v>3266000</v>
      </c>
      <c r="C4" s="7" t="n">
        <v>3450000</v>
      </c>
      <c r="D4" s="7" t="n">
        <v>3820000</v>
      </c>
      <c r="E4" s="7" t="n">
        <v>4210000</v>
      </c>
    </row>
    <row r="5">
      <c r="A5" s="6" t="inlineStr">
        <is>
          <t xml:space="preserve">  Accounts Receivable</t>
        </is>
      </c>
      <c r="B5" s="7" t="n">
        <v>1650000</v>
      </c>
      <c r="C5" s="7" t="n">
        <v>1720000</v>
      </c>
      <c r="D5" s="7" t="n">
        <v>1800000</v>
      </c>
      <c r="E5" s="7" t="n">
        <v>1870000</v>
      </c>
    </row>
    <row r="6">
      <c r="A6" s="6" t="inlineStr">
        <is>
          <t xml:space="preserve">  Inventory</t>
        </is>
      </c>
      <c r="B6" s="7" t="n">
        <v>390000</v>
      </c>
      <c r="C6" s="7" t="n">
        <v>405000</v>
      </c>
      <c r="D6" s="7" t="n">
        <v>418000</v>
      </c>
      <c r="E6" s="7" t="n">
        <v>430000</v>
      </c>
    </row>
    <row r="7">
      <c r="A7" s="6" t="inlineStr">
        <is>
          <t xml:space="preserve">  Prepaid &amp; Other</t>
        </is>
      </c>
      <c r="B7" s="7" t="n">
        <v>140000</v>
      </c>
      <c r="C7" s="7" t="n">
        <v>145000</v>
      </c>
      <c r="D7" s="7" t="n">
        <v>150000</v>
      </c>
      <c r="E7" s="7" t="n">
        <v>155000</v>
      </c>
    </row>
    <row r="8">
      <c r="A8" s="6" t="inlineStr">
        <is>
          <t>Total Current Assets</t>
        </is>
      </c>
      <c r="B8" s="8">
        <f>SUM(B4:B7)</f>
        <v/>
      </c>
      <c r="C8" s="8">
        <f>SUM(C4:C7)</f>
        <v/>
      </c>
      <c r="D8" s="8">
        <f>SUM(D4:D7)</f>
        <v/>
      </c>
      <c r="E8" s="8">
        <f>SUM(E4:E7)</f>
        <v/>
      </c>
    </row>
    <row r="9">
      <c r="A9" s="6" t="inlineStr">
        <is>
          <t xml:space="preserve">  PP&amp;E (net)</t>
        </is>
      </c>
      <c r="B9" s="7" t="n">
        <v>2200000</v>
      </c>
      <c r="C9" s="7" t="n">
        <v>2180000</v>
      </c>
      <c r="D9" s="7" t="n">
        <v>2160000</v>
      </c>
      <c r="E9" s="7" t="n">
        <v>2140000</v>
      </c>
    </row>
    <row r="10">
      <c r="A10" s="6" t="inlineStr">
        <is>
          <t xml:space="preserve">  Intangibles &amp; Goodwill</t>
        </is>
      </c>
      <c r="B10" s="7" t="n">
        <v>880000</v>
      </c>
      <c r="C10" s="7" t="n">
        <v>880000</v>
      </c>
      <c r="D10" s="7" t="n">
        <v>880000</v>
      </c>
      <c r="E10" s="7" t="n">
        <v>880000</v>
      </c>
    </row>
    <row r="11">
      <c r="A11" s="6" t="inlineStr">
        <is>
          <t xml:space="preserve">  Other Long-Term Assets</t>
        </is>
      </c>
      <c r="B11" s="7" t="n">
        <v>295000</v>
      </c>
      <c r="C11" s="7" t="n">
        <v>300000</v>
      </c>
      <c r="D11" s="7" t="n">
        <v>305000</v>
      </c>
      <c r="E11" s="7" t="n">
        <v>310000</v>
      </c>
    </row>
    <row r="12">
      <c r="A12" s="6" t="inlineStr">
        <is>
          <t>Total Assets</t>
        </is>
      </c>
      <c r="B12" s="8">
        <f>B8+B9+B10+B11</f>
        <v/>
      </c>
      <c r="C12" s="8">
        <f>C8+C9+C10+C11</f>
        <v/>
      </c>
      <c r="D12" s="8">
        <f>D8+D9+D10+D11</f>
        <v/>
      </c>
      <c r="E12" s="8">
        <f>E8+E9+E10+E11</f>
        <v/>
      </c>
    </row>
    <row r="14">
      <c r="A14" s="5" t="inlineStr">
        <is>
          <t>LIABILITIES</t>
        </is>
      </c>
    </row>
    <row r="15">
      <c r="A15" s="6" t="inlineStr">
        <is>
          <t xml:space="preserve">  Accounts Payable</t>
        </is>
      </c>
      <c r="B15" s="7" t="n">
        <v>580000</v>
      </c>
      <c r="C15" s="7" t="n">
        <v>605000</v>
      </c>
      <c r="D15" s="7" t="n">
        <v>625000</v>
      </c>
      <c r="E15" s="7" t="n">
        <v>640000</v>
      </c>
    </row>
    <row r="16">
      <c r="A16" s="6" t="inlineStr">
        <is>
          <t xml:space="preserve">  Accrued Liabilities</t>
        </is>
      </c>
      <c r="B16" s="7" t="n">
        <v>355000</v>
      </c>
      <c r="C16" s="7" t="n">
        <v>368000</v>
      </c>
      <c r="D16" s="7" t="n">
        <v>379000</v>
      </c>
      <c r="E16" s="7" t="n">
        <v>390000</v>
      </c>
    </row>
    <row r="17">
      <c r="A17" s="6" t="inlineStr">
        <is>
          <t xml:space="preserve">  Deferred Revenue</t>
        </is>
      </c>
      <c r="B17" s="7" t="n">
        <v>445000</v>
      </c>
      <c r="C17" s="7" t="n">
        <v>460000</v>
      </c>
      <c r="D17" s="7" t="n">
        <v>480000</v>
      </c>
      <c r="E17" s="7" t="n">
        <v>510000</v>
      </c>
    </row>
    <row r="18">
      <c r="A18" s="6" t="inlineStr">
        <is>
          <t xml:space="preserve">  Current Portion of Debt</t>
        </is>
      </c>
      <c r="B18" s="7" t="n">
        <v>200000</v>
      </c>
      <c r="C18" s="7" t="n">
        <v>200000</v>
      </c>
      <c r="D18" s="7" t="n">
        <v>200000</v>
      </c>
      <c r="E18" s="7" t="n">
        <v>200000</v>
      </c>
    </row>
    <row r="19">
      <c r="A19" s="6" t="inlineStr">
        <is>
          <t>Total Current Liabilities</t>
        </is>
      </c>
      <c r="B19" s="8">
        <f>SUM(B15:B18)</f>
        <v/>
      </c>
      <c r="C19" s="8">
        <f>SUM(C15:C18)</f>
        <v/>
      </c>
      <c r="D19" s="8">
        <f>SUM(D15:D18)</f>
        <v/>
      </c>
      <c r="E19" s="8">
        <f>SUM(E15:E18)</f>
        <v/>
      </c>
    </row>
    <row r="20">
      <c r="A20" s="6" t="inlineStr">
        <is>
          <t xml:space="preserve">  Long-Term Debt</t>
        </is>
      </c>
      <c r="B20" s="7" t="n">
        <v>2200000</v>
      </c>
      <c r="C20" s="7" t="n">
        <v>2175000</v>
      </c>
      <c r="D20" s="7" t="n">
        <v>2150000</v>
      </c>
      <c r="E20" s="7" t="n">
        <v>2100000</v>
      </c>
    </row>
    <row r="21">
      <c r="A21" s="6" t="inlineStr">
        <is>
          <t xml:space="preserve">  Other Long-Term Liabilities</t>
        </is>
      </c>
      <c r="B21" s="7" t="n">
        <v>135000</v>
      </c>
      <c r="C21" s="7" t="n">
        <v>138000</v>
      </c>
      <c r="D21" s="7" t="n">
        <v>141000</v>
      </c>
      <c r="E21" s="7" t="n">
        <v>145000</v>
      </c>
    </row>
    <row r="22">
      <c r="A22" s="6" t="inlineStr">
        <is>
          <t>Total Liabilities</t>
        </is>
      </c>
      <c r="B22" s="8">
        <f>B19+B20+B21</f>
        <v/>
      </c>
      <c r="C22" s="8">
        <f>C19+C20+C21</f>
        <v/>
      </c>
      <c r="D22" s="8">
        <f>D19+D20+D21</f>
        <v/>
      </c>
      <c r="E22" s="8">
        <f>E19+E20+E21</f>
        <v/>
      </c>
    </row>
    <row r="24">
      <c r="A24" s="5" t="inlineStr">
        <is>
          <t>EQUITY</t>
        </is>
      </c>
    </row>
    <row r="25">
      <c r="A25" s="6" t="inlineStr">
        <is>
          <t xml:space="preserve">  Common Stock &amp; APIC</t>
        </is>
      </c>
      <c r="B25" s="7" t="n">
        <v>3200000</v>
      </c>
      <c r="C25" s="7" t="n">
        <v>3200000</v>
      </c>
      <c r="D25" s="7" t="n">
        <v>3200000</v>
      </c>
      <c r="E25" s="7" t="n">
        <v>3200000</v>
      </c>
    </row>
    <row r="26">
      <c r="A26" s="6" t="inlineStr">
        <is>
          <t xml:space="preserve">  Retained Earnings</t>
        </is>
      </c>
      <c r="B26" s="7" t="n">
        <v>1542000</v>
      </c>
      <c r="C26" s="7" t="n">
        <v>1676000</v>
      </c>
      <c r="D26" s="7" t="n">
        <v>1810000</v>
      </c>
      <c r="E26" s="7" t="n">
        <v>2810000</v>
      </c>
    </row>
    <row r="27">
      <c r="A27" s="6" t="inlineStr">
        <is>
          <t>Total Equity</t>
        </is>
      </c>
      <c r="B27" s="8">
        <f>B25+B26</f>
        <v/>
      </c>
      <c r="C27" s="8">
        <f>C25+C26</f>
        <v/>
      </c>
      <c r="D27" s="8">
        <f>D25+D26</f>
        <v/>
      </c>
      <c r="E27" s="8">
        <f>E25+E26</f>
        <v/>
      </c>
    </row>
    <row r="28">
      <c r="A28" s="6" t="inlineStr">
        <is>
          <t>Total Liabilities &amp; Equity</t>
        </is>
      </c>
      <c r="B28" s="8">
        <f>B22+B27</f>
        <v/>
      </c>
      <c r="C28" s="8">
        <f>C22+C27</f>
        <v/>
      </c>
      <c r="D28" s="8">
        <f>D22+D27</f>
        <v/>
      </c>
      <c r="E28" s="8">
        <f>E22+E27</f>
        <v/>
      </c>
    </row>
    <row r="30">
      <c r="A30" s="6" t="inlineStr">
        <is>
          <t>CHECK: BS Balanced?</t>
        </is>
      </c>
      <c r="B30" s="10">
        <f>IF(B12=B28,"✓ Balanced","⚠ MISMATCH")</f>
        <v/>
      </c>
      <c r="C30" s="10">
        <f>IF(C12=C28,"✓ Balanced","⚠ MISMATCH")</f>
        <v/>
      </c>
      <c r="D30" s="10">
        <f>IF(D12=D28,"✓ Balanced","⚠ MISMATCH")</f>
        <v/>
      </c>
      <c r="E30" s="10">
        <f>IF(E12=E28,"✓ Balanced","⚠ MISMATCH")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CASH FLOW STATEMENT</t>
        </is>
      </c>
      <c r="B1" s="2" t="n"/>
      <c r="C1" s="2" t="n"/>
      <c r="D1" s="2" t="n"/>
      <c r="E1" s="2" t="n"/>
    </row>
    <row r="2">
      <c r="A2" s="3" t="inlineStr">
        <is>
          <t>Line Item</t>
        </is>
      </c>
      <c r="B2" s="4" t="inlineStr">
        <is>
          <t>Jan-24</t>
        </is>
      </c>
      <c r="C2" s="4" t="inlineStr">
        <is>
          <t>Feb-24</t>
        </is>
      </c>
      <c r="D2" s="4" t="inlineStr">
        <is>
          <t>Mar-24</t>
        </is>
      </c>
      <c r="E2" s="4" t="inlineStr">
        <is>
          <t>Apr-24 (Act)</t>
        </is>
      </c>
    </row>
    <row r="3">
      <c r="A3" s="5" t="inlineStr">
        <is>
          <t>OPERATING ACTIVITIES</t>
        </is>
      </c>
    </row>
    <row r="4">
      <c r="A4" s="6" t="inlineStr">
        <is>
          <t xml:space="preserve">  Net Income</t>
        </is>
      </c>
      <c r="B4" s="9">
        <f>'Income Statement'!B22</f>
        <v/>
      </c>
      <c r="C4" s="9">
        <f>'Income Statement'!C22</f>
        <v/>
      </c>
      <c r="D4" s="9">
        <f>'Income Statement'!D22</f>
        <v/>
      </c>
      <c r="E4" s="9">
        <f>'Income Statement'!E22</f>
        <v/>
      </c>
    </row>
    <row r="5">
      <c r="A5" s="6" t="inlineStr">
        <is>
          <t xml:space="preserve">  D&amp;A (add back)</t>
        </is>
      </c>
      <c r="B5" s="9">
        <f>'Income Statement'!B17</f>
        <v/>
      </c>
      <c r="C5" s="9">
        <f>'Income Statement'!C17</f>
        <v/>
      </c>
      <c r="D5" s="9">
        <f>'Income Statement'!D17</f>
        <v/>
      </c>
      <c r="E5" s="9">
        <f>'Income Statement'!E17</f>
        <v/>
      </c>
    </row>
    <row r="6">
      <c r="A6" s="6" t="inlineStr">
        <is>
          <t xml:space="preserve">  Change in Accounts Receivable</t>
        </is>
      </c>
      <c r="B6" s="7" t="n">
        <v>-85000</v>
      </c>
      <c r="C6" s="7" t="n">
        <v>-70000</v>
      </c>
      <c r="D6" s="7" t="n">
        <v>-80000</v>
      </c>
      <c r="E6" s="7" t="n">
        <v>-143000</v>
      </c>
    </row>
    <row r="7">
      <c r="A7" s="6" t="inlineStr">
        <is>
          <t xml:space="preserve">  Change in Inventory</t>
        </is>
      </c>
      <c r="B7" s="7" t="n">
        <v>-20000</v>
      </c>
      <c r="C7" s="7" t="n">
        <v>-15000</v>
      </c>
      <c r="D7" s="7" t="n">
        <v>-13000</v>
      </c>
      <c r="E7" s="7" t="n">
        <v>-28000</v>
      </c>
    </row>
    <row r="8">
      <c r="A8" s="6" t="inlineStr">
        <is>
          <t xml:space="preserve">  Change in Accounts Payable</t>
        </is>
      </c>
      <c r="B8" s="7" t="n">
        <v>42000</v>
      </c>
      <c r="C8" s="7" t="n">
        <v>25000</v>
      </c>
      <c r="D8" s="7" t="n">
        <v>20000</v>
      </c>
      <c r="E8" s="7" t="n">
        <v>55000</v>
      </c>
    </row>
    <row r="9">
      <c r="A9" s="6" t="inlineStr">
        <is>
          <t xml:space="preserve">  Change in Deferred Revenue</t>
        </is>
      </c>
      <c r="B9" s="7" t="n">
        <v>38000</v>
      </c>
      <c r="C9" s="7" t="n">
        <v>15000</v>
      </c>
      <c r="D9" s="7" t="n">
        <v>20000</v>
      </c>
      <c r="E9" s="7" t="n">
        <v>62000</v>
      </c>
    </row>
    <row r="10">
      <c r="A10" s="6" t="inlineStr">
        <is>
          <t>Cash from Operations</t>
        </is>
      </c>
      <c r="B10" s="8">
        <f>SUM(B4:B9)</f>
        <v/>
      </c>
      <c r="C10" s="8">
        <f>SUM(C4:C9)</f>
        <v/>
      </c>
      <c r="D10" s="8">
        <f>SUM(D4:D9)</f>
        <v/>
      </c>
      <c r="E10" s="8">
        <f>SUM(E4:E9)</f>
        <v/>
      </c>
    </row>
    <row r="12">
      <c r="A12" s="5" t="inlineStr">
        <is>
          <t>INVESTING ACTIVITIES</t>
        </is>
      </c>
    </row>
    <row r="13">
      <c r="A13" s="6" t="inlineStr">
        <is>
          <t xml:space="preserve">  Capital Expenditures</t>
        </is>
      </c>
      <c r="B13" s="7" t="n">
        <v>-170000</v>
      </c>
      <c r="C13" s="7" t="n">
        <v>-160000</v>
      </c>
      <c r="D13" s="7" t="n">
        <v>-172000</v>
      </c>
      <c r="E13" s="7" t="n">
        <v>-180000</v>
      </c>
    </row>
    <row r="14">
      <c r="A14" s="6" t="inlineStr">
        <is>
          <t>Cash from Investing</t>
        </is>
      </c>
      <c r="B14" s="8">
        <f>SUM(B13:B13)</f>
        <v/>
      </c>
      <c r="C14" s="8">
        <f>SUM(C13:C13)</f>
        <v/>
      </c>
      <c r="D14" s="8">
        <f>SUM(D13:D13)</f>
        <v/>
      </c>
      <c r="E14" s="8">
        <f>SUM(E13:E13)</f>
        <v/>
      </c>
    </row>
    <row r="16">
      <c r="A16" s="5" t="inlineStr">
        <is>
          <t>FINANCING ACTIVITIES</t>
        </is>
      </c>
    </row>
    <row r="17">
      <c r="A17" s="6" t="inlineStr">
        <is>
          <t xml:space="preserve">  Debt Repayment</t>
        </is>
      </c>
      <c r="B17" s="7" t="n">
        <v>-25000</v>
      </c>
      <c r="C17" s="7" t="n">
        <v>-25000</v>
      </c>
      <c r="D17" s="7" t="n">
        <v>-25000</v>
      </c>
      <c r="E17" s="7" t="n">
        <v>-50000</v>
      </c>
    </row>
    <row r="18">
      <c r="A18" s="6" t="inlineStr">
        <is>
          <t>Cash from Financing</t>
        </is>
      </c>
      <c r="B18" s="8">
        <f>SUM(B17:B17)</f>
        <v/>
      </c>
      <c r="C18" s="8">
        <f>SUM(C17:C17)</f>
        <v/>
      </c>
      <c r="D18" s="8">
        <f>SUM(D17:D17)</f>
        <v/>
      </c>
      <c r="E18" s="8">
        <f>SUM(E17:E17)</f>
        <v/>
      </c>
    </row>
    <row r="20">
      <c r="A20" s="6" t="inlineStr">
        <is>
          <t>Net Change in Cash</t>
        </is>
      </c>
      <c r="B20" s="8">
        <f>B10+B14+B18</f>
        <v/>
      </c>
      <c r="C20" s="8">
        <f>C10+C14+C18</f>
        <v/>
      </c>
      <c r="D20" s="8">
        <f>D10+D14+D18</f>
        <v/>
      </c>
      <c r="E20" s="8">
        <f>E10+E14+E18</f>
        <v/>
      </c>
    </row>
    <row r="21">
      <c r="A21" s="6" t="inlineStr">
        <is>
          <t xml:space="preserve">  Beginning Cash</t>
        </is>
      </c>
      <c r="B21" s="7" t="n">
        <v>3100000</v>
      </c>
      <c r="C21" s="7" t="n">
        <v>3266000</v>
      </c>
      <c r="D21" s="7" t="n">
        <v>3450000</v>
      </c>
      <c r="E21" s="7" t="n">
        <v>3266000</v>
      </c>
    </row>
    <row r="22">
      <c r="A22" s="6" t="inlineStr">
        <is>
          <t>Ending Cash</t>
        </is>
      </c>
      <c r="B22" s="8">
        <f>B20+B21</f>
        <v/>
      </c>
      <c r="C22" s="8">
        <f>C20+C21</f>
        <v/>
      </c>
      <c r="D22" s="8">
        <f>D20+D21</f>
        <v/>
      </c>
      <c r="E22" s="8">
        <f>E20+E21</f>
        <v/>
      </c>
    </row>
    <row r="24">
      <c r="A24" s="6" t="inlineStr">
        <is>
          <t>CHECK: Cash ties to BS?</t>
        </is>
      </c>
      <c r="B24" s="11">
        <f>IF(B22='Balance Sheet'!B4,"✓ Match","⚠ MISMATCH")</f>
        <v/>
      </c>
      <c r="C24" s="11">
        <f>IF(C22='Balance Sheet'!C4,"✓ Match","⚠ MISMATCH")</f>
        <v/>
      </c>
      <c r="D24" s="11">
        <f>IF(D22='Balance Sheet'!D4,"✓ Match","⚠ MISMATCH")</f>
        <v/>
      </c>
      <c r="E24" s="11">
        <f>IF(E22='Balance Sheet'!E4,"✓ Match","⚠ MISMATCH")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2026-05-20T18:47:15Z</dcterms:created>
  <dcterms:modified xmlns:dcterms="http://purl.org/dc/terms/" xmlns:xsi="http://www.w3.org/2001/XMLSchema-instance" xsi:type="dcterms:W3CDTF">2026-05-20T18:47:15Z</dcterms:modified>
</cp:coreProperties>
</file>